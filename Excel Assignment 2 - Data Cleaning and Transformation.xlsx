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8BD2E6CA-D22D-4C7E-9F0D-17621619D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-Dataset" sheetId="2" r:id="rId1"/>
    <sheet name="Clean-Dataset" sheetId="3" r:id="rId2"/>
    <sheet name="Observ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2" i="3"/>
</calcChain>
</file>

<file path=xl/sharedStrings.xml><?xml version="1.0" encoding="utf-8"?>
<sst xmlns="http://schemas.openxmlformats.org/spreadsheetml/2006/main" count="293" uniqueCount="120">
  <si>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</si>
  <si>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</si>
  <si>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</si>
  <si>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</si>
  <si>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</si>
  <si>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</si>
  <si>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</si>
  <si>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</si>
  <si>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</si>
  <si>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</si>
  <si>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</si>
  <si>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</si>
  <si>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</si>
  <si>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</si>
  <si>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</si>
  <si>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</si>
  <si>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</si>
  <si>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</si>
  <si>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</si>
  <si>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</si>
  <si>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</si>
  <si>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</si>
  <si>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</si>
  <si>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</si>
  <si>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</si>
  <si>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</si>
  <si>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</si>
  <si>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</si>
  <si>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</si>
  <si>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</si>
  <si>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</si>
  <si>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</si>
  <si>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</si>
  <si>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</si>
  <si>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</si>
  <si>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</si>
  <si>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</si>
  <si>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</si>
  <si>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</si>
  <si>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</si>
  <si>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</si>
  <si>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</si>
  <si>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</si>
  <si>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</si>
  <si>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</si>
  <si>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</si>
  <si>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</si>
  <si>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</si>
  <si>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</si>
  <si>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</si>
  <si>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</si>
  <si>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</si>
  <si>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</si>
  <si>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</si>
  <si>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</si>
  <si>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</si>
  <si>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</si>
  <si>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</si>
  <si>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</si>
  <si>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</si>
  <si>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</si>
  <si>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</si>
  <si>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</si>
  <si>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</si>
  <si>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</si>
  <si>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</si>
  <si>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</si>
  <si>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</si>
  <si>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</si>
  <si>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</si>
  <si>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</si>
  <si>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</si>
  <si>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</si>
  <si>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</si>
  <si>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</si>
  <si>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</si>
  <si>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</si>
  <si>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</si>
  <si>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</si>
  <si>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</si>
  <si>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</si>
  <si>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</si>
  <si>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</si>
  <si>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</si>
  <si>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</si>
  <si>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</si>
  <si>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</si>
  <si>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</si>
  <si>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</si>
  <si>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</si>
  <si>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</si>
  <si>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</si>
  <si>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</si>
  <si>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</si>
  <si>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</si>
  <si>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</si>
  <si>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</si>
  <si>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 Analysis</t>
  </si>
  <si>
    <t>Missing Price Values</t>
  </si>
  <si>
    <t>Missing Category Values</t>
  </si>
  <si>
    <t>Before Cleaning</t>
  </si>
  <si>
    <t>After Cleaning</t>
  </si>
  <si>
    <t>Manufacturing Date</t>
  </si>
  <si>
    <t>Country Code</t>
  </si>
  <si>
    <t>Product Brand</t>
  </si>
  <si>
    <t>Observation</t>
  </si>
  <si>
    <t>Excel Assignment 2-Data Cleaning and Transformation</t>
  </si>
  <si>
    <t>Step</t>
  </si>
  <si>
    <t>Activity</t>
  </si>
  <si>
    <t>Missing values identified; 3 Price cells kept blank and 4 missing Category values corrected.</t>
  </si>
  <si>
    <t>Product Name &amp; Category Corrections</t>
  </si>
  <si>
    <t>Inconsistent Product Name and Category values corrected and standardized.</t>
  </si>
  <si>
    <t>Duplicate Removal</t>
  </si>
  <si>
    <t>Duplicate records identified and removed.</t>
  </si>
  <si>
    <t>Product ID Split &amp; Product Brand</t>
  </si>
  <si>
    <t>Product ID split into Manufacturing Date and Country Code; Product Brand created by combining Brand + Product Name.</t>
  </si>
  <si>
    <t>Price Currency Formatting</t>
  </si>
  <si>
    <t>Price values formatted consistently as currency.</t>
  </si>
  <si>
    <t>Price Data Bars &amp; Electronics Highlighting</t>
  </si>
  <si>
    <t>Data Bars applied to Price and Electronics values highlighted.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</si>
</sst>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540A]#,##0.00"/>
  </numFmts>
  <fonts count="11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4" borderId="1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6" fillId="4" borderId="1" xfId="1" applyFont="1" applyAlignment="1">
      <alignment horizontal="center" vertical="center" wrapText="1"/>
    </xf>
    <xf numFmtId="0" fontId="10" fillId="5" borderId="0" xfId="2" applyFont="1" applyAlignment="1">
      <alignment horizontal="center" vertical="center" wrapText="1"/>
    </xf>
    <xf numFmtId="0" fontId="9" fillId="6" borderId="0" xfId="3" applyFont="1" applyAlignment="1">
      <alignment horizontal="center" vertical="center" wrapText="1"/>
    </xf>
  </cellXfs>
  <cellStyles count="4">
    <cellStyle name="60% - Accent1" xfId="2" builtinId="32"/>
    <cellStyle name="60% - Accent2" xfId="3" builtinId="36"/>
    <cellStyle name="Normal" xfId="0" builtinId="0"/>
    <cellStyle name="Note" xfId="1" builtinId="10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outlinePr summaryBelow="0" summaryRight="0"/>
  </sheetPr>
  <dimension ref="A1:P1000"/>
  <sheetViews>
    <sheetView tabSelected="1" workbookViewId="0">
      <selection activeCell="H12" sqref="H12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78E1-1631-401F-9FAE-879C4C467F43}">
  <sheetPr>
    <tabColor rgb="FFFFC000"/>
  </sheetPr>
  <dimension ref="A1:L35"/>
  <sheetViews>
    <sheetView topLeftCell="B16" workbookViewId="0">
      <selection activeCell="G14" sqref="G14"/>
    </sheetView>
  </sheetViews>
  <sheetFormatPr defaultRowHeight="13.2"/>
  <cols>
    <col min="1" max="1" width="21.6640625" customWidth="1"/>
    <col min="2" max="2" width="18.5546875" customWidth="1"/>
    <col min="3" max="3" width="15.6640625" customWidth="1"/>
    <col min="4" max="4" width="11.109375" style="15" customWidth="1"/>
    <col min="5" max="5" width="15.88671875" customWidth="1"/>
    <col min="6" max="6" width="17" style="10" customWidth="1"/>
    <col min="7" max="7" width="22.5546875" customWidth="1"/>
    <col min="8" max="8" width="17.5546875" customWidth="1"/>
    <col min="9" max="9" width="15.88671875" customWidth="1"/>
    <col min="10" max="10" width="19" customWidth="1"/>
    <col min="11" max="11" width="17.33203125" customWidth="1"/>
    <col min="12" max="12" width="27.88671875" customWidth="1"/>
  </cols>
  <sheetData>
    <row r="1" spans="1:12" ht="19.95" customHeight="1">
      <c r="A1" s="6" t="s">
        <v>0</v>
      </c>
      <c r="B1" s="6" t="s">
        <v>1</v>
      </c>
      <c r="C1" s="6" t="s">
        <v>2</v>
      </c>
      <c r="D1" s="12" t="s">
        <v>3</v>
      </c>
      <c r="E1" s="6" t="s">
        <v>4</v>
      </c>
      <c r="F1" s="6" t="s">
        <v>5</v>
      </c>
      <c r="G1" s="6" t="s">
        <v>97</v>
      </c>
      <c r="H1" s="6" t="s">
        <v>100</v>
      </c>
      <c r="I1" s="6" t="s">
        <v>101</v>
      </c>
      <c r="J1" s="6" t="s">
        <v>102</v>
      </c>
      <c r="K1" s="6" t="s">
        <v>103</v>
      </c>
      <c r="L1" s="6" t="s">
        <v>104</v>
      </c>
    </row>
    <row r="2" spans="1:12" ht="19.95" customHeight="1">
      <c r="A2" s="7" t="s">
        <v>6</v>
      </c>
      <c r="B2" s="7" t="s">
        <v>42</v>
      </c>
      <c r="C2" s="7" t="s">
        <v>8</v>
      </c>
      <c r="D2" s="13">
        <v>1000</v>
      </c>
      <c r="E2" s="7">
        <v>30</v>
      </c>
      <c r="F2" s="7" t="s">
        <v>9</v>
      </c>
      <c r="G2" s="7" t="s">
        <v>98</v>
      </c>
      <c r="H2" s="7">
        <v>3</v>
      </c>
      <c r="I2" s="7">
        <f>COUNTBLANK(D2:D32)</f>
        <v>3</v>
      </c>
      <c r="J2" s="7" t="str">
        <f>LEFT(A2,6)</f>
        <v>28-JAN</v>
      </c>
      <c r="K2" s="7" t="str">
        <f>RIGHT(A2,2)</f>
        <v>US</v>
      </c>
      <c r="L2" s="7" t="str">
        <f>C2&amp;" - "&amp;B2</f>
        <v>Dell - Laptop</v>
      </c>
    </row>
    <row r="3" spans="1:12" ht="19.95" customHeight="1">
      <c r="A3" s="8" t="s">
        <v>10</v>
      </c>
      <c r="B3" s="8" t="s">
        <v>11</v>
      </c>
      <c r="C3" s="8" t="s">
        <v>12</v>
      </c>
      <c r="D3" s="14">
        <v>80</v>
      </c>
      <c r="E3" s="8">
        <v>15</v>
      </c>
      <c r="F3" s="8" t="s">
        <v>13</v>
      </c>
      <c r="G3" s="8" t="s">
        <v>99</v>
      </c>
      <c r="H3" s="8">
        <v>4</v>
      </c>
      <c r="I3" s="8">
        <f>COUNTBLANK(F2:F32)</f>
        <v>0</v>
      </c>
      <c r="J3" s="8" t="str">
        <f t="shared" ref="J3:J32" si="0">LEFT(A3,6)</f>
        <v>15-FEB</v>
      </c>
      <c r="K3" s="8" t="str">
        <f t="shared" ref="K3:K32" si="1">RIGHT(A3,2)</f>
        <v>US</v>
      </c>
      <c r="L3" s="8" t="str">
        <f t="shared" ref="L3:L32" si="2">C3&amp;" - "&amp;B3</f>
        <v>Nike - Sneakers</v>
      </c>
    </row>
    <row r="4" spans="1:12" ht="19.95" customHeight="1">
      <c r="A4" s="7" t="s">
        <v>14</v>
      </c>
      <c r="B4" s="7" t="s">
        <v>15</v>
      </c>
      <c r="C4" s="7" t="s">
        <v>16</v>
      </c>
      <c r="D4" s="13">
        <v>130</v>
      </c>
      <c r="E4" s="7">
        <v>40</v>
      </c>
      <c r="F4" s="7" t="s">
        <v>17</v>
      </c>
      <c r="G4" s="7"/>
      <c r="H4" s="7"/>
      <c r="I4" s="7"/>
      <c r="J4" s="7" t="str">
        <f t="shared" si="0"/>
        <v>03-MAR</v>
      </c>
      <c r="K4" s="7" t="str">
        <f t="shared" si="1"/>
        <v>US</v>
      </c>
      <c r="L4" s="7" t="str">
        <f t="shared" si="2"/>
        <v>Keurig - Coffee Maker</v>
      </c>
    </row>
    <row r="5" spans="1:12" ht="19.95" customHeight="1">
      <c r="A5" s="8" t="s">
        <v>18</v>
      </c>
      <c r="B5" s="8" t="s">
        <v>77</v>
      </c>
      <c r="C5" s="8" t="s">
        <v>20</v>
      </c>
      <c r="D5" s="14">
        <v>900</v>
      </c>
      <c r="E5" s="8">
        <v>25</v>
      </c>
      <c r="F5" s="8" t="s">
        <v>9</v>
      </c>
      <c r="G5" s="8"/>
      <c r="H5" s="8"/>
      <c r="I5" s="8"/>
      <c r="J5" s="8" t="str">
        <f t="shared" si="0"/>
        <v>11-APR</v>
      </c>
      <c r="K5" s="8" t="str">
        <f t="shared" si="1"/>
        <v>US</v>
      </c>
      <c r="L5" s="8" t="str">
        <f t="shared" si="2"/>
        <v>Samsung - Smartphone</v>
      </c>
    </row>
    <row r="6" spans="1:12" ht="19.95" customHeight="1">
      <c r="A6" s="7" t="s">
        <v>21</v>
      </c>
      <c r="B6" s="7" t="s">
        <v>22</v>
      </c>
      <c r="C6" s="7" t="s">
        <v>23</v>
      </c>
      <c r="D6" s="13">
        <v>70</v>
      </c>
      <c r="E6" s="7">
        <v>20</v>
      </c>
      <c r="F6" s="9" t="s">
        <v>56</v>
      </c>
      <c r="G6" s="7"/>
      <c r="H6" s="7"/>
      <c r="I6" s="7"/>
      <c r="J6" s="7" t="str">
        <f t="shared" si="0"/>
        <v>22-MAY</v>
      </c>
      <c r="K6" s="7" t="str">
        <f t="shared" si="1"/>
        <v>US</v>
      </c>
      <c r="L6" s="7" t="str">
        <f t="shared" si="2"/>
        <v>North Face - Backpack</v>
      </c>
    </row>
    <row r="7" spans="1:12" ht="19.95" customHeight="1">
      <c r="A7" s="8" t="s">
        <v>24</v>
      </c>
      <c r="B7" s="8" t="s">
        <v>25</v>
      </c>
      <c r="C7" s="8" t="s">
        <v>26</v>
      </c>
      <c r="D7" s="14"/>
      <c r="E7" s="8">
        <v>45</v>
      </c>
      <c r="F7" s="8" t="s">
        <v>9</v>
      </c>
      <c r="G7" s="8"/>
      <c r="H7" s="8"/>
      <c r="I7" s="8"/>
      <c r="J7" s="8" t="str">
        <f t="shared" si="0"/>
        <v>07-JUN</v>
      </c>
      <c r="K7" s="8" t="str">
        <f t="shared" si="1"/>
        <v>UK</v>
      </c>
      <c r="L7" s="8" t="str">
        <f t="shared" si="2"/>
        <v>Sony - Headphones</v>
      </c>
    </row>
    <row r="8" spans="1:12" ht="19.95" customHeight="1">
      <c r="A8" s="7" t="s">
        <v>28</v>
      </c>
      <c r="B8" s="7" t="s">
        <v>29</v>
      </c>
      <c r="C8" s="7" t="s">
        <v>30</v>
      </c>
      <c r="D8" s="13">
        <v>30</v>
      </c>
      <c r="E8" s="7">
        <v>5</v>
      </c>
      <c r="F8" s="7" t="s">
        <v>13</v>
      </c>
      <c r="G8" s="7"/>
      <c r="H8" s="7"/>
      <c r="I8" s="7"/>
      <c r="J8" s="7" t="str">
        <f t="shared" si="0"/>
        <v>19-JUL</v>
      </c>
      <c r="K8" s="7" t="str">
        <f t="shared" si="1"/>
        <v>UK</v>
      </c>
      <c r="L8" s="7" t="str">
        <f t="shared" si="2"/>
        <v>Adidas - T-shirt</v>
      </c>
    </row>
    <row r="9" spans="1:12" ht="19.95" customHeight="1">
      <c r="A9" s="8" t="s">
        <v>31</v>
      </c>
      <c r="B9" s="8" t="s">
        <v>32</v>
      </c>
      <c r="C9" s="8" t="s">
        <v>33</v>
      </c>
      <c r="D9" s="14">
        <v>90</v>
      </c>
      <c r="E9" s="8">
        <v>35</v>
      </c>
      <c r="F9" s="8" t="s">
        <v>17</v>
      </c>
      <c r="G9" s="8"/>
      <c r="H9" s="8"/>
      <c r="I9" s="8"/>
      <c r="J9" s="8" t="str">
        <f t="shared" si="0"/>
        <v>23-AUG</v>
      </c>
      <c r="K9" s="8" t="str">
        <f t="shared" si="1"/>
        <v>UK</v>
      </c>
      <c r="L9" s="8" t="str">
        <f t="shared" si="2"/>
        <v>Ninja - Blender</v>
      </c>
    </row>
    <row r="10" spans="1:12" ht="19.95" customHeight="1">
      <c r="A10" s="7" t="s">
        <v>34</v>
      </c>
      <c r="B10" s="7" t="s">
        <v>35</v>
      </c>
      <c r="C10" s="7" t="s">
        <v>36</v>
      </c>
      <c r="D10" s="13">
        <v>500</v>
      </c>
      <c r="E10" s="7">
        <v>50</v>
      </c>
      <c r="F10" s="7" t="s">
        <v>9</v>
      </c>
      <c r="G10" s="7"/>
      <c r="H10" s="7"/>
      <c r="I10" s="7"/>
      <c r="J10" s="7" t="str">
        <f t="shared" si="0"/>
        <v>05-SEP</v>
      </c>
      <c r="K10" s="7" t="str">
        <f t="shared" si="1"/>
        <v>UK</v>
      </c>
      <c r="L10" s="7" t="str">
        <f t="shared" si="2"/>
        <v>Apple - Tablet</v>
      </c>
    </row>
    <row r="11" spans="1:12" ht="19.95" customHeight="1">
      <c r="A11" s="8" t="s">
        <v>37</v>
      </c>
      <c r="B11" s="8" t="s">
        <v>38</v>
      </c>
      <c r="C11" s="8" t="s">
        <v>39</v>
      </c>
      <c r="D11" s="14">
        <v>130</v>
      </c>
      <c r="E11" s="8">
        <v>10</v>
      </c>
      <c r="F11" s="8" t="s">
        <v>40</v>
      </c>
      <c r="G11" s="8"/>
      <c r="H11" s="8"/>
      <c r="I11" s="8"/>
      <c r="J11" s="8" t="str">
        <f t="shared" si="0"/>
        <v>14-OCT</v>
      </c>
      <c r="K11" s="8" t="str">
        <f t="shared" si="1"/>
        <v>UK</v>
      </c>
      <c r="L11" s="8" t="str">
        <f t="shared" si="2"/>
        <v>Timberland - Hiking Boots</v>
      </c>
    </row>
    <row r="12" spans="1:12" ht="19.95" customHeight="1">
      <c r="A12" s="7" t="s">
        <v>41</v>
      </c>
      <c r="B12" s="7" t="s">
        <v>42</v>
      </c>
      <c r="C12" s="7" t="s">
        <v>43</v>
      </c>
      <c r="D12" s="13">
        <v>950</v>
      </c>
      <c r="E12" s="7">
        <v>25</v>
      </c>
      <c r="F12" s="7" t="s">
        <v>9</v>
      </c>
      <c r="G12" s="7"/>
      <c r="H12" s="7"/>
      <c r="I12" s="7"/>
      <c r="J12" s="7" t="str">
        <f t="shared" si="0"/>
        <v>17-JUN</v>
      </c>
      <c r="K12" s="7" t="str">
        <f t="shared" si="1"/>
        <v>IN</v>
      </c>
      <c r="L12" s="7" t="str">
        <f t="shared" si="2"/>
        <v>HP - Laptop</v>
      </c>
    </row>
    <row r="13" spans="1:12" ht="19.95" customHeight="1">
      <c r="A13" s="8" t="s">
        <v>44</v>
      </c>
      <c r="B13" s="8" t="s">
        <v>11</v>
      </c>
      <c r="C13" s="8" t="s">
        <v>30</v>
      </c>
      <c r="D13" s="14">
        <v>90</v>
      </c>
      <c r="E13" s="8">
        <v>40</v>
      </c>
      <c r="F13" s="8" t="s">
        <v>13</v>
      </c>
      <c r="G13" s="8"/>
      <c r="H13" s="8"/>
      <c r="I13" s="8"/>
      <c r="J13" s="8" t="str">
        <f t="shared" si="0"/>
        <v>25-NOV</v>
      </c>
      <c r="K13" s="8" t="str">
        <f t="shared" si="1"/>
        <v>AU</v>
      </c>
      <c r="L13" s="8" t="str">
        <f t="shared" si="2"/>
        <v>Adidas - Sneakers</v>
      </c>
    </row>
    <row r="14" spans="1:12" ht="19.95" customHeight="1">
      <c r="A14" s="7" t="s">
        <v>45</v>
      </c>
      <c r="B14" s="7" t="s">
        <v>15</v>
      </c>
      <c r="C14" s="7" t="s">
        <v>46</v>
      </c>
      <c r="D14" s="13">
        <v>120</v>
      </c>
      <c r="E14" s="7">
        <v>35</v>
      </c>
      <c r="F14" s="11" t="s">
        <v>17</v>
      </c>
      <c r="G14" s="7"/>
      <c r="H14" s="7"/>
      <c r="I14" s="7"/>
      <c r="J14" s="7" t="str">
        <f t="shared" si="0"/>
        <v>08-DEC</v>
      </c>
      <c r="K14" s="7" t="str">
        <f t="shared" si="1"/>
        <v>DE</v>
      </c>
      <c r="L14" s="7" t="str">
        <f t="shared" si="2"/>
        <v>Nespresso - Coffee Maker</v>
      </c>
    </row>
    <row r="15" spans="1:12" ht="19.95" customHeight="1">
      <c r="A15" s="8" t="s">
        <v>47</v>
      </c>
      <c r="B15" s="8" t="s">
        <v>48</v>
      </c>
      <c r="C15" s="8" t="s">
        <v>49</v>
      </c>
      <c r="D15" s="14">
        <v>150</v>
      </c>
      <c r="E15" s="8">
        <v>15</v>
      </c>
      <c r="F15" s="8" t="s">
        <v>9</v>
      </c>
      <c r="G15" s="8"/>
      <c r="H15" s="8"/>
      <c r="I15" s="8"/>
      <c r="J15" s="8" t="str">
        <f t="shared" si="0"/>
        <v>18-FEB</v>
      </c>
      <c r="K15" s="8" t="str">
        <f t="shared" si="1"/>
        <v>CA</v>
      </c>
      <c r="L15" s="8" t="str">
        <f t="shared" si="2"/>
        <v>Fitbit - Smartwatch</v>
      </c>
    </row>
    <row r="16" spans="1:12" ht="19.95" customHeight="1">
      <c r="A16" s="7" t="s">
        <v>50</v>
      </c>
      <c r="B16" s="7" t="s">
        <v>25</v>
      </c>
      <c r="C16" s="7" t="s">
        <v>52</v>
      </c>
      <c r="D16" s="13">
        <v>250</v>
      </c>
      <c r="E16" s="7">
        <v>20</v>
      </c>
      <c r="F16" s="7" t="s">
        <v>9</v>
      </c>
      <c r="G16" s="7"/>
      <c r="H16" s="7"/>
      <c r="I16" s="7"/>
      <c r="J16" s="7" t="str">
        <f t="shared" si="0"/>
        <v>16-APR</v>
      </c>
      <c r="K16" s="7" t="str">
        <f t="shared" si="1"/>
        <v>ES</v>
      </c>
      <c r="L16" s="7" t="str">
        <f t="shared" si="2"/>
        <v>Bose - Headphones</v>
      </c>
    </row>
    <row r="17" spans="1:12" ht="19.95" customHeight="1">
      <c r="A17" s="8" t="s">
        <v>53</v>
      </c>
      <c r="B17" s="8" t="s">
        <v>54</v>
      </c>
      <c r="C17" s="8" t="s">
        <v>55</v>
      </c>
      <c r="D17" s="14">
        <v>50</v>
      </c>
      <c r="E17" s="8">
        <v>35</v>
      </c>
      <c r="F17" s="8" t="s">
        <v>56</v>
      </c>
      <c r="G17" s="8"/>
      <c r="H17" s="8"/>
      <c r="I17" s="8"/>
      <c r="J17" s="8" t="str">
        <f t="shared" si="0"/>
        <v>21-AUG</v>
      </c>
      <c r="K17" s="8" t="str">
        <f t="shared" si="1"/>
        <v>CA</v>
      </c>
      <c r="L17" s="8" t="str">
        <f t="shared" si="2"/>
        <v>Samsonite - Laptop Bag</v>
      </c>
    </row>
    <row r="18" spans="1:12" ht="19.95" customHeight="1">
      <c r="A18" s="7" t="s">
        <v>57</v>
      </c>
      <c r="B18" s="7" t="s">
        <v>48</v>
      </c>
      <c r="C18" s="7" t="s">
        <v>58</v>
      </c>
      <c r="D18" s="13">
        <v>160</v>
      </c>
      <c r="E18" s="7">
        <v>15</v>
      </c>
      <c r="F18" s="7" t="s">
        <v>9</v>
      </c>
      <c r="G18" s="7"/>
      <c r="H18" s="7"/>
      <c r="I18" s="7"/>
      <c r="J18" s="7" t="str">
        <f t="shared" si="0"/>
        <v>20-AUG</v>
      </c>
      <c r="K18" s="7" t="str">
        <f t="shared" si="1"/>
        <v>CN</v>
      </c>
      <c r="L18" s="7" t="str">
        <f t="shared" si="2"/>
        <v>Huawei - Smartwatch</v>
      </c>
    </row>
    <row r="19" spans="1:12" ht="19.95" customHeight="1">
      <c r="A19" s="8" t="s">
        <v>59</v>
      </c>
      <c r="B19" s="8" t="s">
        <v>42</v>
      </c>
      <c r="C19" s="8" t="s">
        <v>60</v>
      </c>
      <c r="D19" s="14">
        <v>980</v>
      </c>
      <c r="E19" s="8">
        <v>10</v>
      </c>
      <c r="F19" s="8" t="s">
        <v>9</v>
      </c>
      <c r="G19" s="8"/>
      <c r="H19" s="8"/>
      <c r="I19" s="8"/>
      <c r="J19" s="8" t="str">
        <f t="shared" si="0"/>
        <v>27-JAN</v>
      </c>
      <c r="K19" s="8" t="str">
        <f t="shared" si="1"/>
        <v>IT</v>
      </c>
      <c r="L19" s="8" t="str">
        <f t="shared" si="2"/>
        <v>Asus - Laptop</v>
      </c>
    </row>
    <row r="20" spans="1:12" ht="19.95" customHeight="1">
      <c r="A20" s="7" t="s">
        <v>61</v>
      </c>
      <c r="B20" s="7" t="s">
        <v>62</v>
      </c>
      <c r="C20" s="7" t="s">
        <v>63</v>
      </c>
      <c r="D20" s="13">
        <v>150</v>
      </c>
      <c r="E20" s="7">
        <v>15</v>
      </c>
      <c r="F20" s="7" t="s">
        <v>13</v>
      </c>
      <c r="G20" s="7"/>
      <c r="H20" s="7"/>
      <c r="I20" s="7"/>
      <c r="J20" s="7" t="str">
        <f t="shared" si="0"/>
        <v>01-MAR</v>
      </c>
      <c r="K20" s="7" t="str">
        <f t="shared" si="1"/>
        <v>UK</v>
      </c>
      <c r="L20" s="7" t="str">
        <f t="shared" si="2"/>
        <v>Oakley - Sunglasses</v>
      </c>
    </row>
    <row r="21" spans="1:12" ht="19.95" customHeight="1">
      <c r="A21" s="8" t="s">
        <v>64</v>
      </c>
      <c r="B21" s="8" t="s">
        <v>65</v>
      </c>
      <c r="C21" s="8" t="s">
        <v>66</v>
      </c>
      <c r="D21" s="14"/>
      <c r="E21" s="8">
        <v>10</v>
      </c>
      <c r="F21" s="8" t="s">
        <v>40</v>
      </c>
      <c r="G21" s="8"/>
      <c r="H21" s="8"/>
      <c r="I21" s="8"/>
      <c r="J21" s="8" t="str">
        <f t="shared" si="0"/>
        <v>14-AUG</v>
      </c>
      <c r="K21" s="8" t="str">
        <f t="shared" si="1"/>
        <v>US</v>
      </c>
      <c r="L21" s="8" t="str">
        <f t="shared" si="2"/>
        <v>Coleman - Camping Tent</v>
      </c>
    </row>
    <row r="22" spans="1:12" ht="19.95" customHeight="1">
      <c r="A22" s="7" t="s">
        <v>67</v>
      </c>
      <c r="B22" s="7" t="s">
        <v>68</v>
      </c>
      <c r="C22" s="7" t="s">
        <v>69</v>
      </c>
      <c r="D22" s="13">
        <v>700</v>
      </c>
      <c r="E22" s="7">
        <v>50</v>
      </c>
      <c r="F22" s="7" t="s">
        <v>9</v>
      </c>
      <c r="G22" s="7"/>
      <c r="H22" s="7"/>
      <c r="I22" s="7"/>
      <c r="J22" s="7" t="str">
        <f t="shared" si="0"/>
        <v>14-MAY</v>
      </c>
      <c r="K22" s="7" t="str">
        <f t="shared" si="1"/>
        <v>RU</v>
      </c>
      <c r="L22" s="7" t="str">
        <f t="shared" si="2"/>
        <v>Nikon - Camera</v>
      </c>
    </row>
    <row r="23" spans="1:12" ht="19.95" customHeight="1">
      <c r="A23" s="8" t="s">
        <v>70</v>
      </c>
      <c r="B23" s="8" t="s">
        <v>71</v>
      </c>
      <c r="C23" s="8" t="s">
        <v>72</v>
      </c>
      <c r="D23" s="14">
        <v>80</v>
      </c>
      <c r="E23" s="8">
        <v>20</v>
      </c>
      <c r="F23" s="8" t="s">
        <v>17</v>
      </c>
      <c r="G23" s="8"/>
      <c r="H23" s="8"/>
      <c r="I23" s="8"/>
      <c r="J23" s="8" t="str">
        <f t="shared" si="0"/>
        <v>09-JAN</v>
      </c>
      <c r="K23" s="8" t="str">
        <f t="shared" si="1"/>
        <v>CA</v>
      </c>
      <c r="L23" s="8" t="str">
        <f t="shared" si="2"/>
        <v>Panasonic - Microwave</v>
      </c>
    </row>
    <row r="24" spans="1:12" ht="19.95" customHeight="1">
      <c r="A24" s="7" t="s">
        <v>73</v>
      </c>
      <c r="B24" s="7" t="s">
        <v>74</v>
      </c>
      <c r="C24" s="7" t="s">
        <v>75</v>
      </c>
      <c r="D24" s="13">
        <v>150</v>
      </c>
      <c r="E24" s="7">
        <v>30</v>
      </c>
      <c r="F24" s="9" t="s">
        <v>9</v>
      </c>
      <c r="G24" s="7"/>
      <c r="H24" s="7"/>
      <c r="I24" s="7"/>
      <c r="J24" s="7" t="str">
        <f t="shared" si="0"/>
        <v>19-JUL</v>
      </c>
      <c r="K24" s="7" t="str">
        <f t="shared" si="1"/>
        <v>BR</v>
      </c>
      <c r="L24" s="7" t="str">
        <f t="shared" si="2"/>
        <v>Xiaomi - Fitness Tracker</v>
      </c>
    </row>
    <row r="25" spans="1:12" ht="19.95" customHeight="1">
      <c r="A25" s="7" t="s">
        <v>76</v>
      </c>
      <c r="B25" s="7" t="s">
        <v>77</v>
      </c>
      <c r="C25" s="7" t="s">
        <v>78</v>
      </c>
      <c r="D25" s="13">
        <v>800</v>
      </c>
      <c r="E25" s="7">
        <v>45</v>
      </c>
      <c r="F25" s="7" t="s">
        <v>9</v>
      </c>
      <c r="G25" s="7"/>
      <c r="H25" s="7"/>
      <c r="I25" s="7"/>
      <c r="J25" s="7" t="str">
        <f t="shared" si="0"/>
        <v>29-SEP</v>
      </c>
      <c r="K25" s="7" t="str">
        <f t="shared" si="1"/>
        <v>CA</v>
      </c>
      <c r="L25" s="7" t="str">
        <f t="shared" si="2"/>
        <v>Google - Smartphone</v>
      </c>
    </row>
    <row r="26" spans="1:12" ht="19.95" customHeight="1">
      <c r="A26" s="8" t="s">
        <v>79</v>
      </c>
      <c r="B26" s="8" t="s">
        <v>62</v>
      </c>
      <c r="C26" s="8" t="s">
        <v>80</v>
      </c>
      <c r="D26" s="14"/>
      <c r="E26" s="8">
        <v>25</v>
      </c>
      <c r="F26" s="8" t="s">
        <v>13</v>
      </c>
      <c r="G26" s="8"/>
      <c r="H26" s="8"/>
      <c r="I26" s="8"/>
      <c r="J26" s="8" t="str">
        <f t="shared" si="0"/>
        <v>03-JUN</v>
      </c>
      <c r="K26" s="8" t="str">
        <f t="shared" si="1"/>
        <v>CA</v>
      </c>
      <c r="L26" s="8" t="str">
        <f t="shared" si="2"/>
        <v>Ray-Ban - Sunglasses</v>
      </c>
    </row>
    <row r="27" spans="1:12" ht="19.95" customHeight="1">
      <c r="A27" s="7" t="s">
        <v>81</v>
      </c>
      <c r="B27" s="7" t="s">
        <v>32</v>
      </c>
      <c r="C27" s="7" t="s">
        <v>82</v>
      </c>
      <c r="D27" s="13">
        <v>400</v>
      </c>
      <c r="E27" s="7">
        <v>40</v>
      </c>
      <c r="F27" s="7" t="s">
        <v>17</v>
      </c>
      <c r="G27" s="7"/>
      <c r="H27" s="7"/>
      <c r="I27" s="7"/>
      <c r="J27" s="7" t="str">
        <f t="shared" si="0"/>
        <v>11-JUL</v>
      </c>
      <c r="K27" s="7" t="str">
        <f t="shared" si="1"/>
        <v>CA</v>
      </c>
      <c r="L27" s="7" t="str">
        <f t="shared" si="2"/>
        <v>Vitamix - Blender</v>
      </c>
    </row>
    <row r="28" spans="1:12" ht="19.95" customHeight="1">
      <c r="A28" s="7" t="s">
        <v>83</v>
      </c>
      <c r="B28" s="7" t="s">
        <v>84</v>
      </c>
      <c r="C28" s="7" t="s">
        <v>85</v>
      </c>
      <c r="D28" s="13">
        <v>60</v>
      </c>
      <c r="E28" s="7">
        <v>30</v>
      </c>
      <c r="F28" s="7" t="s">
        <v>13</v>
      </c>
      <c r="G28" s="7"/>
      <c r="H28" s="7"/>
      <c r="I28" s="7"/>
      <c r="J28" s="7" t="str">
        <f t="shared" si="0"/>
        <v>07-MAR</v>
      </c>
      <c r="K28" s="7" t="str">
        <f t="shared" si="1"/>
        <v>CA</v>
      </c>
      <c r="L28" s="7" t="str">
        <f t="shared" si="2"/>
        <v>Zara - Dress</v>
      </c>
    </row>
    <row r="29" spans="1:12" ht="19.95" customHeight="1">
      <c r="A29" s="8" t="s">
        <v>86</v>
      </c>
      <c r="B29" s="8" t="s">
        <v>87</v>
      </c>
      <c r="C29" s="8" t="s">
        <v>88</v>
      </c>
      <c r="D29" s="14">
        <v>40</v>
      </c>
      <c r="E29" s="8">
        <v>10</v>
      </c>
      <c r="F29" s="8" t="s">
        <v>17</v>
      </c>
      <c r="G29" s="8"/>
      <c r="H29" s="8"/>
      <c r="I29" s="8"/>
      <c r="J29" s="8" t="str">
        <f t="shared" si="0"/>
        <v>13-APR</v>
      </c>
      <c r="K29" s="8" t="str">
        <f t="shared" si="1"/>
        <v>CA</v>
      </c>
      <c r="L29" s="8" t="str">
        <f t="shared" si="2"/>
        <v>Hamilton - Toaster</v>
      </c>
    </row>
    <row r="30" spans="1:12" ht="19.95" customHeight="1">
      <c r="A30" s="7" t="s">
        <v>89</v>
      </c>
      <c r="B30" s="7" t="s">
        <v>74</v>
      </c>
      <c r="C30" s="7" t="s">
        <v>90</v>
      </c>
      <c r="D30" s="13">
        <v>130</v>
      </c>
      <c r="E30" s="7">
        <v>5</v>
      </c>
      <c r="F30" s="7" t="s">
        <v>9</v>
      </c>
      <c r="G30" s="7"/>
      <c r="H30" s="7"/>
      <c r="I30" s="7"/>
      <c r="J30" s="7" t="str">
        <f t="shared" si="0"/>
        <v>24-MAY</v>
      </c>
      <c r="K30" s="7" t="str">
        <f t="shared" si="1"/>
        <v>CA</v>
      </c>
      <c r="L30" s="7" t="str">
        <f t="shared" si="2"/>
        <v>Garmin - Fitness Tracker</v>
      </c>
    </row>
    <row r="31" spans="1:12" ht="19.95" customHeight="1">
      <c r="A31" s="8" t="s">
        <v>91</v>
      </c>
      <c r="B31" s="8" t="s">
        <v>92</v>
      </c>
      <c r="C31" s="8" t="s">
        <v>93</v>
      </c>
      <c r="D31" s="14">
        <v>50</v>
      </c>
      <c r="E31" s="8">
        <v>50</v>
      </c>
      <c r="F31" s="8" t="s">
        <v>13</v>
      </c>
      <c r="G31" s="8"/>
      <c r="H31" s="8"/>
      <c r="I31" s="8"/>
      <c r="J31" s="8" t="str">
        <f t="shared" si="0"/>
        <v>02-DEC</v>
      </c>
      <c r="K31" s="8" t="str">
        <f t="shared" si="1"/>
        <v>CA</v>
      </c>
      <c r="L31" s="8" t="str">
        <f t="shared" si="2"/>
        <v>Levi's - Jeans</v>
      </c>
    </row>
    <row r="32" spans="1:12" ht="19.95" customHeight="1">
      <c r="A32" s="8" t="s">
        <v>94</v>
      </c>
      <c r="B32" s="8" t="s">
        <v>95</v>
      </c>
      <c r="C32" s="8" t="s">
        <v>96</v>
      </c>
      <c r="D32" s="14">
        <v>100</v>
      </c>
      <c r="E32" s="8">
        <v>20</v>
      </c>
      <c r="F32" s="8" t="s">
        <v>56</v>
      </c>
      <c r="G32" s="8"/>
      <c r="H32" s="8"/>
      <c r="I32" s="8"/>
      <c r="J32" s="8" t="str">
        <f t="shared" si="0"/>
        <v>09-JUL</v>
      </c>
      <c r="K32" s="8" t="str">
        <f t="shared" si="1"/>
        <v>FR</v>
      </c>
      <c r="L32" s="8" t="str">
        <f t="shared" si="2"/>
        <v>Casio - Watch</v>
      </c>
    </row>
    <row r="33" spans="6:6" ht="19.95" customHeight="1">
      <c r="F33"/>
    </row>
    <row r="34" spans="6:6" ht="19.95" customHeight="1">
      <c r="F34"/>
    </row>
    <row r="35" spans="6:6" ht="19.95" customHeight="1">
      <c r="F35"/>
    </row>
  </sheetData>
  <conditionalFormatting sqref="D2:D3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{65FCA9FE-CE05-46BB-A897-AD07DB6B0FF6}</x14:id>
        </ext>
      </extLst>
    </cfRule>
  </conditionalFormatting>
  <conditionalFormatting sqref="F2:F32">
    <cfRule type="containsText" dxfId="1" priority="1" operator="containsText" text="Electronics">
      <formula>NOT(ISERROR(SEARCH("Electronics",F2)))</formula>
    </cfRule>
    <cfRule type="containsText" dxfId="0" priority="3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FCA9FE-CE05-46BB-A897-AD07DB6B0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BAA3-D130-434D-930B-6EFB06A68930}">
  <sheetPr>
    <tabColor rgb="FFFFC000"/>
  </sheetPr>
  <dimension ref="G4:I12"/>
  <sheetViews>
    <sheetView topLeftCell="A2" workbookViewId="0">
      <selection activeCell="K10" sqref="K10"/>
    </sheetView>
  </sheetViews>
  <sheetFormatPr defaultRowHeight="13.2"/>
  <cols>
    <col min="6" max="6" width="2.88671875" customWidth="1"/>
    <col min="7" max="7" width="10.6640625" customWidth="1"/>
    <col min="8" max="8" width="44.6640625" customWidth="1"/>
    <col min="9" max="9" width="66.33203125" customWidth="1"/>
  </cols>
  <sheetData>
    <row r="4" spans="7:9" ht="19.95" customHeight="1">
      <c r="G4" s="17" t="s">
        <v>105</v>
      </c>
      <c r="H4" s="17"/>
      <c r="I4" s="17"/>
    </row>
    <row r="5" spans="7:9" ht="19.95" customHeight="1">
      <c r="G5" s="18" t="s">
        <v>106</v>
      </c>
      <c r="H5" s="18"/>
      <c r="I5" s="18"/>
    </row>
    <row r="6" spans="7:9" ht="40.049999999999997" customHeight="1">
      <c r="G6" s="16" t="s">
        <v>107</v>
      </c>
      <c r="H6" s="16" t="s">
        <v>108</v>
      </c>
      <c r="I6" s="16" t="s">
        <v>105</v>
      </c>
    </row>
    <row r="7" spans="7:9" ht="40.049999999999997" customHeight="1">
      <c r="G7" s="16">
        <v>1</v>
      </c>
      <c r="H7" s="16" t="s">
        <v>97</v>
      </c>
      <c r="I7" s="16" t="s">
        <v>109</v>
      </c>
    </row>
    <row r="8" spans="7:9" ht="40.049999999999997" customHeight="1">
      <c r="G8" s="16">
        <v>2</v>
      </c>
      <c r="H8" s="16" t="s">
        <v>110</v>
      </c>
      <c r="I8" s="16" t="s">
        <v>111</v>
      </c>
    </row>
    <row r="9" spans="7:9" ht="40.049999999999997" customHeight="1">
      <c r="G9" s="16">
        <v>3</v>
      </c>
      <c r="H9" s="16" t="s">
        <v>112</v>
      </c>
      <c r="I9" s="16" t="s">
        <v>113</v>
      </c>
    </row>
    <row r="10" spans="7:9" ht="40.049999999999997" customHeight="1">
      <c r="G10" s="16">
        <v>4</v>
      </c>
      <c r="H10" s="16" t="s">
        <v>114</v>
      </c>
      <c r="I10" s="16" t="s">
        <v>115</v>
      </c>
    </row>
    <row r="11" spans="7:9" ht="40.049999999999997" customHeight="1">
      <c r="G11" s="16">
        <v>5</v>
      </c>
      <c r="H11" s="16" t="s">
        <v>116</v>
      </c>
      <c r="I11" s="16" t="s">
        <v>117</v>
      </c>
    </row>
    <row r="12" spans="7:9" ht="40.049999999999997" customHeight="1">
      <c r="G12" s="16">
        <v>6</v>
      </c>
      <c r="H12" s="16" t="s">
        <v>118</v>
      </c>
      <c r="I12" s="16" t="s">
        <v>119</v>
      </c>
    </row>
  </sheetData>
  <mergeCells count="2">
    <mergeCell ref="G4:I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Raw-Dataset</vt:lpstr>
      <vt:lpstr>Clean-Dataset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2026-07-23T14:43:37Z</dcterms:created>
  <dcterms:modified xsi:type="dcterms:W3CDTF">2026-09-20T07:47:38Z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